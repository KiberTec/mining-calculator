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чёт месяца" sheetId="1" state="visible" r:id="rId1"/>
    <sheet name="Справочник формул" sheetId="2" state="visible" r:id="rId2"/>
    <sheet name="Примеры (твои данные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"/>
    <numFmt numFmtId="165" formatCode="0.0000"/>
    <numFmt numFmtId="166" formatCode="0.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7931A"/>
      </patternFill>
    </fill>
    <fill>
      <patternFill patternType="solid">
        <fgColor rgb="00FFF8E7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right" vertical="center"/>
    </xf>
    <xf numFmtId="0" fontId="0" fillId="0" borderId="0" applyAlignment="1" pivotButton="0" quotePrefix="0" xfId="0">
      <alignment vertical="top" wrapText="1"/>
    </xf>
    <xf numFmtId="2" fontId="0" fillId="3" borderId="1" applyAlignment="1" pivotButton="0" quotePrefix="0" xfId="0">
      <alignment horizontal="right" vertical="center"/>
    </xf>
    <xf numFmtId="164" fontId="0" fillId="3" borderId="1" applyAlignment="1" pivotButton="0" quotePrefix="0" xfId="0">
      <alignment horizontal="right" vertical="center"/>
    </xf>
    <xf numFmtId="3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2" fontId="0" fillId="4" borderId="1" applyAlignment="1" pivotButton="0" quotePrefix="0" xfId="0">
      <alignment horizontal="right" vertical="center"/>
    </xf>
    <xf numFmtId="3" fontId="0" fillId="4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165" fontId="0" fillId="4" borderId="1" applyAlignment="1" pivotButton="0" quotePrefix="0" xfId="0">
      <alignment horizontal="right" vertical="center"/>
    </xf>
    <xf numFmtId="166" fontId="0" fillId="4" borderId="1" applyAlignment="1" pivotButton="0" quotePrefix="0" xfId="0">
      <alignment horizontal="right" vertical="center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Mining Calculator</author>
  </authors>
  <commentList>
    <comment ref="B4" authorId="0" shapeId="0">
      <text>
        <t>Для расчёта дней в месяце</t>
      </text>
    </comment>
    <comment ref="B5" authorId="0" shapeId="0">
      <text>
        <t>Бирск или Дема (инфо, на формулы не влияет)</t>
      </text>
    </comment>
    <comment ref="B6" authorId="0" shapeId="0">
      <text>
        <t>Факт с счётчика за месяц</t>
      </text>
    </comment>
    <comment ref="B7" authorId="0" shapeId="0">
      <text>
        <t>Сколько заплатил за электричество</t>
      </text>
    </comment>
    <comment ref="B8" authorId="0" shapeId="0">
      <text>
        <t>Среднее с пула за месяц (не пик!)</t>
      </text>
    </comment>
    <comment ref="B9" authorId="0" shapeId="0">
      <text>
        <t>Сложность на ~28-е число месяца</t>
      </text>
    </comment>
    <comment ref="B10" authorId="0" shapeId="0">
      <text>
        <t>Факт с пула</t>
      </text>
    </comment>
    <comment ref="B11" authorId="0" shapeId="0">
      <text>
        <t>Только Дема — BTC хостингу</t>
      </text>
    </comment>
    <comment ref="B12" authorId="0" shapeId="0">
      <text>
        <t>Сколько продал</t>
      </text>
    </comment>
    <comment ref="B13" authorId="0" shapeId="0">
      <text>
        <t>Цена продажи</t>
      </text>
    </comment>
    <comment ref="B14" authorId="0" shapeId="0">
      <text>
        <t>₽ за $1</t>
      </text>
    </comment>
    <comment ref="B15" authorId="0" shapeId="0">
      <text>
        <t>С банера сайта — для HODL</t>
      </text>
    </comment>
    <comment ref="B16" authorId="0" shapeId="0">
      <text>
        <t>С банера сайта</t>
      </text>
    </comment>
    <comment ref="B19" authorId="0" shapeId="0">
      <text>
        <t>Авто из месяца</t>
      </text>
    </comment>
    <comment ref="B20" authorId="0" shapeId="0">
      <text>
        <t>Дни × 24</t>
      </text>
    </comment>
    <comment ref="B21" authorId="0" shapeId="0">
      <text>
        <t>Константа Bitcoin</t>
      </text>
    </comment>
    <comment ref="B22" authorId="0" shapeId="0">
      <text>
        <t>После халвинга 2024</t>
      </text>
    </comment>
    <comment ref="B23" authorId="0" shapeId="0">
      <text>
        <t>₽ за свет ÷ курс</t>
      </text>
    </comment>
    <comment ref="B24" authorId="0" shapeId="0">
      <text>
        <t>Отдано BTC × цена</t>
      </text>
    </comment>
    <comment ref="B25" authorId="0" shapeId="0">
      <text>
        <t>Эл-во $ + комиссия $</t>
      </text>
    </comment>
    <comment ref="B26" authorId="0" shapeId="0">
      <text>
        <t>Эл-во ₽ + комиссия в ₽</t>
      </text>
    </comment>
    <comment ref="B27" authorId="0" shapeId="0">
      <text>
        <t>Gross − партнёру</t>
      </text>
    </comment>
    <comment ref="B28" authorId="0" shapeId="0">
      <text>
        <t>Net − продано</t>
      </text>
    </comment>
    <comment ref="B29" authorId="0" shapeId="0">
      <text>
        <t>При 100% uptime. hash×сек×3.125/(diff×2³²)</t>
      </text>
    </comment>
    <comment ref="B31" authorId="0" shapeId="0">
      <text>
        <t>Продано × цена × курс</t>
      </text>
    </comment>
    <comment ref="B32" authorId="0" shapeId="0">
      <text>
        <t>Остаток × тек. цена BTC</t>
      </text>
    </comment>
    <comment ref="B33" authorId="0" shapeId="0">
      <text>
        <t>Полный доход по тек. цене</t>
      </text>
    </comment>
    <comment ref="B34" authorId="0" shapeId="0">
      <text>
        <t>Только продажи − расходы</t>
      </text>
    </comment>
    <comment ref="B35" authorId="0" shapeId="0">
      <text>
        <t>Продажи + HODL − расходы</t>
      </text>
    </comment>
    <comment ref="B36" authorId="0" shapeId="0">
      <text>
        <t>All-in $/BTC</t>
      </text>
    </comment>
    <comment ref="B37" authorId="0" shapeId="0">
      <text>
        <t>$/BTC × курс</t>
      </text>
    </comment>
    <comment ref="B38" authorId="0" shapeId="0">
      <text>
        <t>Стоимость 1 кВт·ч</t>
      </text>
    </comment>
    <comment ref="B40" authorId="0" shapeId="0">
      <text>
        <t>&lt;20 отлично (S21). &gt;30 устарело</t>
      </text>
    </comment>
    <comment ref="B41" authorId="0" shapeId="0">
      <text>
        <t>Факт/теор. 95-102% = норма</t>
      </text>
    </comment>
    <comment ref="B42" authorId="0" shapeId="0">
      <text>
        <t>(Доход MTM − расходы) / доход</t>
      </text>
    </comment>
    <comment ref="B43" authorId="0" shapeId="0">
      <text>
        <t>= себестоимость $/BTC</t>
      </text>
    </comment>
    <comment ref="B44" authorId="0" shapeId="0">
      <text>
        <t>Факт $/TH/day</t>
      </text>
    </comment>
    <comment ref="B45" authorId="0" shapeId="0">
      <text>
        <t>Бенчмарк всей сети</t>
      </text>
    </comment>
    <comment ref="B46" authorId="0" shapeId="0">
      <text>
        <t>+% лучше сети, −% хуже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52" customWidth="1" min="3" max="3"/>
  </cols>
  <sheetData>
    <row r="1">
      <c r="A1" s="1" t="inlineStr">
        <is>
          <t>Калькулятор записи журнала — меняй жёлтые ячейки (колонка B)</t>
        </is>
      </c>
    </row>
    <row r="2">
      <c r="C2" s="2" t="inlineStr">
        <is>
          <t>Пояснение</t>
        </is>
      </c>
    </row>
    <row r="3">
      <c r="A3" s="3" t="inlineStr">
        <is>
          <t>📥 ВВОД (жёлтые ячейки)</t>
        </is>
      </c>
      <c r="B3" s="3" t="n"/>
      <c r="C3" s="3" t="n"/>
    </row>
    <row r="4">
      <c r="A4" s="4" t="inlineStr">
        <is>
          <t>Месяц (YYYY-MM)</t>
        </is>
      </c>
      <c r="B4" s="5" t="inlineStr">
        <is>
          <t>2026-04</t>
        </is>
      </c>
      <c r="C4" s="6" t="inlineStr">
        <is>
          <t>Для расчёта дней в месяце</t>
        </is>
      </c>
    </row>
    <row r="5">
      <c r="A5" s="4" t="inlineStr">
        <is>
          <t>Локация</t>
        </is>
      </c>
      <c r="B5" s="5" t="inlineStr">
        <is>
          <t>Дема</t>
        </is>
      </c>
      <c r="C5" s="6" t="inlineStr">
        <is>
          <t>Бирск или Дема (инфо, на формулы не влияет)</t>
        </is>
      </c>
    </row>
    <row r="6">
      <c r="A6" s="4" t="inlineStr">
        <is>
          <t>Потребление за месяц, кВт·ч</t>
        </is>
      </c>
      <c r="B6" s="5" t="n">
        <v>89680</v>
      </c>
      <c r="C6" s="6" t="inlineStr">
        <is>
          <t>Факт с счётчика за месяц</t>
        </is>
      </c>
    </row>
    <row r="7">
      <c r="A7" s="4" t="inlineStr">
        <is>
          <t>Заплачено за эл-во, ₽</t>
        </is>
      </c>
      <c r="B7" s="5" t="n">
        <v>325650</v>
      </c>
      <c r="C7" s="6" t="inlineStr">
        <is>
          <t>Сколько заплатил за электричество</t>
        </is>
      </c>
    </row>
    <row r="8">
      <c r="A8" s="4" t="inlineStr">
        <is>
          <t>Средний хешрейт, TH/s</t>
        </is>
      </c>
      <c r="B8" s="5" t="n">
        <v>4500</v>
      </c>
      <c r="C8" s="6" t="inlineStr">
        <is>
          <t>Среднее с пула за месяц (не пик!)</t>
        </is>
      </c>
    </row>
    <row r="9">
      <c r="A9" s="4" t="inlineStr">
        <is>
          <t>Сложность сети, T</t>
        </is>
      </c>
      <c r="B9" s="7" t="n">
        <v>135.59</v>
      </c>
      <c r="C9" s="6" t="inlineStr">
        <is>
          <t>Сложность на ~28-е число месяца</t>
        </is>
      </c>
    </row>
    <row r="10">
      <c r="A10" s="4" t="inlineStr">
        <is>
          <t>Намайнено, BTC (gross)</t>
        </is>
      </c>
      <c r="B10" s="8" t="n">
        <v>0.06174</v>
      </c>
      <c r="C10" s="6" t="inlineStr">
        <is>
          <t>Факт с пула</t>
        </is>
      </c>
    </row>
    <row r="11">
      <c r="A11" s="4" t="inlineStr">
        <is>
          <t>Отдано партнёру, BTC</t>
        </is>
      </c>
      <c r="B11" s="8" t="n">
        <v>0</v>
      </c>
      <c r="C11" s="6" t="inlineStr">
        <is>
          <t>Только Дема — BTC хостингу</t>
        </is>
      </c>
    </row>
    <row r="12">
      <c r="A12" s="4" t="inlineStr">
        <is>
          <t>Продано, BTC</t>
        </is>
      </c>
      <c r="B12" s="8" t="n">
        <v>0.01</v>
      </c>
      <c r="C12" s="6" t="inlineStr">
        <is>
          <t>Сколько продал</t>
        </is>
      </c>
    </row>
    <row r="13">
      <c r="A13" s="4" t="inlineStr">
        <is>
          <t>Цена продажи, $/BTC</t>
        </is>
      </c>
      <c r="B13" s="9" t="n">
        <v>69000</v>
      </c>
      <c r="C13" s="6" t="inlineStr">
        <is>
          <t>Цена продажи</t>
        </is>
      </c>
    </row>
    <row r="14">
      <c r="A14" s="4" t="inlineStr">
        <is>
          <t>Курс RUB при продаже</t>
        </is>
      </c>
      <c r="B14" s="7" t="n">
        <v>79</v>
      </c>
      <c r="C14" s="6" t="inlineStr">
        <is>
          <t>₽ за $1</t>
        </is>
      </c>
    </row>
    <row r="15">
      <c r="A15" s="4" t="inlineStr">
        <is>
          <t>Текущая цена BTC, $</t>
        </is>
      </c>
      <c r="B15" s="9" t="n">
        <v>63000</v>
      </c>
      <c r="C15" s="6" t="inlineStr">
        <is>
          <t>С банера сайта — для HODL</t>
        </is>
      </c>
    </row>
    <row r="16">
      <c r="A16" s="4" t="inlineStr">
        <is>
          <t>Текущий курс USD/RUB</t>
        </is>
      </c>
      <c r="B16" s="7" t="n">
        <v>78</v>
      </c>
      <c r="C16" s="6" t="inlineStr">
        <is>
          <t>С банера сайта</t>
        </is>
      </c>
    </row>
    <row r="18">
      <c r="A18" s="3" t="inlineStr">
        <is>
          <t>⚙️ БАЗОВЫЕ РАСЧЁТЫ</t>
        </is>
      </c>
      <c r="B18" s="3" t="n"/>
      <c r="C18" s="3" t="n"/>
    </row>
    <row r="19">
      <c r="A19" s="4" t="inlineStr">
        <is>
          <t>Дней в месяце</t>
        </is>
      </c>
      <c r="B19" s="10">
        <f>DAY(EOMONTH(DATEVALUE(B4&amp;"-01"),0))</f>
        <v/>
      </c>
      <c r="C19" s="6" t="inlineStr">
        <is>
          <t>Авто из месяца</t>
        </is>
      </c>
    </row>
    <row r="20">
      <c r="A20" s="4" t="inlineStr">
        <is>
          <t>Часов в месяце</t>
        </is>
      </c>
      <c r="B20" s="10">
        <f>B19*24</f>
        <v/>
      </c>
      <c r="C20" s="6" t="inlineStr">
        <is>
          <t>Дни × 24</t>
        </is>
      </c>
    </row>
    <row r="21">
      <c r="A21" s="4" t="inlineStr">
        <is>
          <t>2^32 (константа сети)</t>
        </is>
      </c>
      <c r="B21" s="10" t="n">
        <v>4294967296</v>
      </c>
      <c r="C21" s="6" t="inlineStr">
        <is>
          <t>Константа Bitcoin</t>
        </is>
      </c>
    </row>
    <row r="22">
      <c r="A22" s="4" t="inlineStr">
        <is>
          <t>Награда блока, BTC</t>
        </is>
      </c>
      <c r="B22" s="10" t="n">
        <v>3.125</v>
      </c>
      <c r="C22" s="6" t="inlineStr">
        <is>
          <t>После халвинга 2024</t>
        </is>
      </c>
    </row>
    <row r="23">
      <c r="A23" s="4" t="inlineStr">
        <is>
          <t>Эл-во в USD</t>
        </is>
      </c>
      <c r="B23" s="11">
        <f>B7/B14</f>
        <v/>
      </c>
      <c r="C23" s="6" t="inlineStr">
        <is>
          <t>₽ за свет ÷ курс</t>
        </is>
      </c>
    </row>
    <row r="24">
      <c r="A24" s="4" t="inlineStr">
        <is>
          <t>Комиссия партнёру, USD</t>
        </is>
      </c>
      <c r="B24" s="11">
        <f>B11*B13</f>
        <v/>
      </c>
      <c r="C24" s="6" t="inlineStr">
        <is>
          <t>Отдано BTC × цена</t>
        </is>
      </c>
    </row>
    <row r="25">
      <c r="A25" s="4" t="inlineStr">
        <is>
          <t>Все расходы, USD</t>
        </is>
      </c>
      <c r="B25" s="11">
        <f>B23+B24</f>
        <v/>
      </c>
      <c r="C25" s="6" t="inlineStr">
        <is>
          <t>Эл-во $ + комиссия $</t>
        </is>
      </c>
    </row>
    <row r="26">
      <c r="A26" s="4" t="inlineStr">
        <is>
          <t>Все расходы, ₽</t>
        </is>
      </c>
      <c r="B26" s="12">
        <f>B7+B24*B14</f>
        <v/>
      </c>
      <c r="C26" s="6" t="inlineStr">
        <is>
          <t>Эл-во ₽ + комиссия в ₽</t>
        </is>
      </c>
    </row>
    <row r="27">
      <c r="A27" s="4" t="inlineStr">
        <is>
          <t>Намайнено NET, BTC</t>
        </is>
      </c>
      <c r="B27" s="13">
        <f>B10-B11</f>
        <v/>
      </c>
      <c r="C27" s="6" t="inlineStr">
        <is>
          <t>Gross − партнёру</t>
        </is>
      </c>
    </row>
    <row r="28">
      <c r="A28" s="4" t="inlineStr">
        <is>
          <t>HODL остаток, BTC</t>
        </is>
      </c>
      <c r="B28" s="13">
        <f>MAX(0,B27-B12)</f>
        <v/>
      </c>
      <c r="C28" s="6" t="inlineStr">
        <is>
          <t>Net − продано</t>
        </is>
      </c>
    </row>
    <row r="29">
      <c r="A29" s="4" t="inlineStr">
        <is>
          <t>Теор. добыча, BTC</t>
        </is>
      </c>
      <c r="B29" s="13">
        <f>B8*B19*86400*B22/(B9*B21)</f>
        <v/>
      </c>
      <c r="C29" s="6" t="inlineStr">
        <is>
          <t>При 100% uptime. hash×сек×3.125/(diff×2³²)</t>
        </is>
      </c>
    </row>
    <row r="30">
      <c r="A30" s="3" t="inlineStr">
        <is>
          <t>💰 ФИНАНСЫ</t>
        </is>
      </c>
      <c r="B30" s="3" t="n"/>
      <c r="C30" s="3" t="n"/>
    </row>
    <row r="31">
      <c r="A31" s="4" t="inlineStr">
        <is>
          <t>Доход от продаж, ₽</t>
        </is>
      </c>
      <c r="B31" s="12">
        <f>B12*B13*B14</f>
        <v/>
      </c>
      <c r="C31" s="6" t="inlineStr">
        <is>
          <t>Продано × цена × курс</t>
        </is>
      </c>
    </row>
    <row r="32">
      <c r="A32" s="4" t="inlineStr">
        <is>
          <t>Стоимость HODL сейчас, ₽</t>
        </is>
      </c>
      <c r="B32" s="12">
        <f>B28*B15*B16</f>
        <v/>
      </c>
      <c r="C32" s="6" t="inlineStr">
        <is>
          <t>Остаток × тек. цена BTC</t>
        </is>
      </c>
    </row>
    <row r="33">
      <c r="A33" s="4" t="inlineStr">
        <is>
          <t>Доход MTM (продажи+HODL), ₽</t>
        </is>
      </c>
      <c r="B33" s="12">
        <f>B31+B32</f>
        <v/>
      </c>
      <c r="C33" s="6" t="inlineStr">
        <is>
          <t>Полный доход по тек. цене</t>
        </is>
      </c>
    </row>
    <row r="34">
      <c r="A34" s="4" t="inlineStr">
        <is>
          <t>Реализованный кэш, ₽</t>
        </is>
      </c>
      <c r="B34" s="12">
        <f>B31-B26</f>
        <v/>
      </c>
      <c r="C34" s="6" t="inlineStr">
        <is>
          <t>Только продажи − расходы</t>
        </is>
      </c>
    </row>
    <row r="35">
      <c r="A35" s="4" t="inlineStr">
        <is>
          <t>★ Фин. итог, ₽</t>
        </is>
      </c>
      <c r="B35" s="12">
        <f>B31+B32-B26</f>
        <v/>
      </c>
      <c r="C35" s="6" t="inlineStr">
        <is>
          <t>Продажи + HODL − расходы</t>
        </is>
      </c>
    </row>
    <row r="36">
      <c r="A36" s="4" t="inlineStr">
        <is>
          <t>Себестоимость 1 BTC, $</t>
        </is>
      </c>
      <c r="B36" s="12">
        <f>IF(B27&gt;0,B25/B27,0)</f>
        <v/>
      </c>
      <c r="C36" s="6" t="inlineStr">
        <is>
          <t>All-in $/BTC</t>
        </is>
      </c>
    </row>
    <row r="37">
      <c r="A37" s="4" t="inlineStr">
        <is>
          <t>Себестоимость 1 BTC, ₽</t>
        </is>
      </c>
      <c r="B37" s="12">
        <f>B36*B14</f>
        <v/>
      </c>
      <c r="C37" s="6" t="inlineStr">
        <is>
          <t>$/BTC × курс</t>
        </is>
      </c>
    </row>
    <row r="38">
      <c r="A38" s="4" t="inlineStr">
        <is>
          <t>Тариф, $/кВт·ч</t>
        </is>
      </c>
      <c r="B38" s="14">
        <f>IF(B6&gt;0,B23/B6,0)</f>
        <v/>
      </c>
      <c r="C38" s="6" t="inlineStr">
        <is>
          <t>Стоимость 1 кВт·ч</t>
        </is>
      </c>
    </row>
    <row r="39">
      <c r="A39" s="3" t="inlineStr">
        <is>
          <t>🏭 KPI ЭФФЕКТИВНОСТИ</t>
        </is>
      </c>
      <c r="B39" s="3" t="n"/>
      <c r="C39" s="3" t="n"/>
    </row>
    <row r="40">
      <c r="A40" s="4" t="inlineStr">
        <is>
          <t>J/TH</t>
        </is>
      </c>
      <c r="B40" s="11">
        <f>IF(B8&gt;0,B6*1000/(B8*B20),0)</f>
        <v/>
      </c>
      <c r="C40" s="6" t="inlineStr">
        <is>
          <t>&lt;20 отлично (S21). &gt;30 устарело</t>
        </is>
      </c>
    </row>
    <row r="41">
      <c r="A41" s="4" t="inlineStr">
        <is>
          <t>Realization rate, %</t>
        </is>
      </c>
      <c r="B41" s="15">
        <f>IF(B29&gt;0,B10/B29*100,0)</f>
        <v/>
      </c>
      <c r="C41" s="6" t="inlineStr">
        <is>
          <t>Факт/теор. 95-102% = норма</t>
        </is>
      </c>
    </row>
    <row r="42">
      <c r="A42" s="4" t="inlineStr">
        <is>
          <t>Mining margin, %</t>
        </is>
      </c>
      <c r="B42" s="15">
        <f>IF(B33&gt;0,(B33-B26)/B33*100,-100)</f>
        <v/>
      </c>
      <c r="C42" s="6" t="inlineStr">
        <is>
          <t>(Доход MTM − расходы) / доход</t>
        </is>
      </c>
    </row>
    <row r="43">
      <c r="A43" s="4" t="inlineStr">
        <is>
          <t>Break-even BTC, $</t>
        </is>
      </c>
      <c r="B43" s="12">
        <f>B36</f>
        <v/>
      </c>
      <c r="C43" s="6">
        <f> себестоимость $/BTC</f>
        <v/>
      </c>
    </row>
    <row r="44">
      <c r="A44" s="4" t="inlineStr">
        <is>
          <t>Наш hashprice, $/TH/день</t>
        </is>
      </c>
      <c r="B44" s="14">
        <f>IF(B8&gt;0,B10*B13/(B8*B19),0)</f>
        <v/>
      </c>
      <c r="C44" s="6" t="inlineStr">
        <is>
          <t>Факт $/TH/day</t>
        </is>
      </c>
    </row>
    <row r="45">
      <c r="A45" s="4" t="inlineStr">
        <is>
          <t>Сетевой hashprice, $/TH/день</t>
        </is>
      </c>
      <c r="B45" s="14">
        <f>B22*144*B13/(B9*B21/600)</f>
        <v/>
      </c>
      <c r="C45" s="6" t="inlineStr">
        <is>
          <t>Бенчмарк всей сети</t>
        </is>
      </c>
    </row>
    <row r="46">
      <c r="A46" s="4" t="inlineStr">
        <is>
          <t>Hashprice: наш vs сеть, %</t>
        </is>
      </c>
      <c r="B46" s="15">
        <f>IF(B45&gt;0,(B44/B45-1)*100,0)</f>
        <v/>
      </c>
      <c r="C46" s="6" t="inlineStr">
        <is>
          <t>+% лучше сети, −% хуже</t>
        </is>
      </c>
    </row>
  </sheetData>
  <mergeCells count="5">
    <mergeCell ref="A1:C1"/>
    <mergeCell ref="A18:C18"/>
    <mergeCell ref="A3:C3"/>
    <mergeCell ref="A30:C30"/>
    <mergeCell ref="A39:C39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58" customWidth="1" min="2" max="2"/>
    <col width="48" customWidth="1" min="3" max="3"/>
  </cols>
  <sheetData>
    <row r="1">
      <c r="A1" s="16" t="inlineStr">
        <is>
          <t>Показатель</t>
        </is>
      </c>
      <c r="B1" s="16" t="inlineStr">
        <is>
          <t>Формула</t>
        </is>
      </c>
      <c r="C1" s="16" t="inlineStr">
        <is>
          <t>От чего зависит</t>
        </is>
      </c>
    </row>
    <row r="2">
      <c r="A2" s="17" t="inlineStr">
        <is>
          <t>NET BTC</t>
        </is>
      </c>
      <c r="B2" s="17" t="inlineStr">
        <is>
          <t>btcMined − btcGiven</t>
        </is>
      </c>
      <c r="C2" s="17" t="inlineStr">
        <is>
          <t>Gross и комиссия Демы</t>
        </is>
      </c>
    </row>
    <row r="3">
      <c r="A3" s="17" t="inlineStr">
        <is>
          <t>Теор. BTC</t>
        </is>
      </c>
      <c r="B3" s="17" t="inlineStr">
        <is>
          <t>hash × дни × 86400 × 3.125 / (diff × 2³²)</t>
        </is>
      </c>
      <c r="C3" s="17" t="inlineStr">
        <is>
          <t>Hashrate, сложность, дни. НЕ от цены BTC</t>
        </is>
      </c>
    </row>
    <row r="4">
      <c r="A4" s="17" t="inlineStr">
        <is>
          <t>Realization %</t>
        </is>
      </c>
      <c r="B4" s="17" t="inlineStr">
        <is>
          <t>btcMined / Теор. × 100</t>
        </is>
      </c>
      <c r="C4" s="17" t="inlineStr">
        <is>
          <t>&lt;90% простои. &gt;105% занизил hashrate</t>
        </is>
      </c>
    </row>
    <row r="5">
      <c r="A5" s="17" t="inlineStr">
        <is>
          <t>J/TH</t>
        </is>
      </c>
      <c r="B5" s="17" t="inlineStr">
        <is>
          <t>кВт·ч × 1000 / (hash × часы)</t>
        </is>
      </c>
      <c r="C5" s="17" t="inlineStr">
        <is>
          <t>Потребление и hashrate</t>
        </is>
      </c>
    </row>
    <row r="6">
      <c r="A6" s="17" t="inlineStr">
        <is>
          <t>All-in $/BTC</t>
        </is>
      </c>
      <c r="B6" s="17" t="inlineStr">
        <is>
          <t>(эл-во$ + комиссия$) / net BTC</t>
        </is>
      </c>
      <c r="C6" s="17" t="inlineStr">
        <is>
          <t>Все расходы на 1 BTC</t>
        </is>
      </c>
    </row>
    <row r="7">
      <c r="A7" s="17" t="inlineStr">
        <is>
          <t>Фин. итог ₽</t>
        </is>
      </c>
      <c r="B7" s="17" t="inlineStr">
        <is>
          <t>продажи₽ + HODL₽ − расходы₽</t>
        </is>
      </c>
      <c r="C7" s="17" t="inlineStr">
        <is>
          <t>HODL = остаток × ТЕКУЩАЯ цена BTC</t>
        </is>
      </c>
    </row>
    <row r="8">
      <c r="A8" s="17" t="inlineStr">
        <is>
          <t>Реализ. кэш</t>
        </is>
      </c>
      <c r="B8" s="17" t="inlineStr">
        <is>
          <t>продажи₽ − расходы₽</t>
        </is>
      </c>
      <c r="C8" s="17" t="inlineStr">
        <is>
          <t>Без HODL — только наличка</t>
        </is>
      </c>
    </row>
    <row r="9">
      <c r="A9" s="17" t="inlineStr">
        <is>
          <t>Mining margin</t>
        </is>
      </c>
      <c r="B9" s="17" t="inlineStr">
        <is>
          <t>(MTM − расходы) / MTM</t>
        </is>
      </c>
      <c r="C9" s="17" t="inlineStr">
        <is>
          <t>Доля прибыли</t>
        </is>
      </c>
    </row>
    <row r="10">
      <c r="A10" s="17" t="inlineStr">
        <is>
          <t>Hashprice наш</t>
        </is>
      </c>
      <c r="B10" s="17" t="inlineStr">
        <is>
          <t>btcMined × цена / (hash × дни)</t>
        </is>
      </c>
      <c r="C10" s="17" t="inlineStr">
        <is>
          <t>$/TH/день факт</t>
        </is>
      </c>
    </row>
    <row r="11">
      <c r="A11" s="17" t="inlineStr">
        <is>
          <t>Hashprice сеть</t>
        </is>
      </c>
      <c r="B11" s="17" t="inlineStr">
        <is>
          <t>3.125 × 144 × цена / (diff × 2³² / 600)</t>
        </is>
      </c>
      <c r="C11" s="17" t="inlineStr">
        <is>
          <t>Среднее по сети</t>
        </is>
      </c>
    </row>
    <row r="13">
      <c r="A13" t="inlineStr">
        <is>
          <t>ЦЕПОЧКА: Ввод → Теор.BTC → Realization | кВт·ч+hash → J/TH | Расходы → $/BTC | Продажи+HODL → Фин.итог</t>
        </is>
      </c>
    </row>
  </sheetData>
  <mergeCells count="1">
    <mergeCell ref="A13:C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Локация</t>
        </is>
      </c>
      <c r="B1" s="2" t="inlineStr">
        <is>
          <t>Месяц</t>
        </is>
      </c>
      <c r="C1" s="2" t="inlineStr">
        <is>
          <t>кВт·ч</t>
        </is>
      </c>
      <c r="D1" s="2" t="inlineStr">
        <is>
          <t>Эл-во ₽</t>
        </is>
      </c>
      <c r="E1" s="2" t="inlineStr">
        <is>
          <t>TH/s</t>
        </is>
      </c>
      <c r="F1" s="2" t="inlineStr">
        <is>
          <t>Diff</t>
        </is>
      </c>
      <c r="G1" s="2" t="inlineStr">
        <is>
          <t>BTC</t>
        </is>
      </c>
      <c r="H1" s="2" t="inlineStr">
        <is>
          <t>Отдано</t>
        </is>
      </c>
      <c r="I1" s="2" t="inlineStr">
        <is>
          <t>Продано</t>
        </is>
      </c>
      <c r="J1" s="2" t="inlineStr">
        <is>
          <t>Цена$</t>
        </is>
      </c>
      <c r="K1" s="2" t="inlineStr">
        <is>
          <t>Курс</t>
        </is>
      </c>
      <c r="L1" s="2" t="inlineStr">
        <is>
          <t>Себест$/BTC</t>
        </is>
      </c>
      <c r="M1" s="2" t="inlineStr">
        <is>
          <t>Realiz%</t>
        </is>
      </c>
      <c r="N1" s="2" t="inlineStr">
        <is>
          <t>J/TH</t>
        </is>
      </c>
    </row>
    <row r="2">
      <c r="A2" t="inlineStr">
        <is>
          <t>Бирск</t>
        </is>
      </c>
      <c r="B2" t="inlineStr">
        <is>
          <t>2026-04</t>
        </is>
      </c>
      <c r="C2" t="n">
        <v>263325</v>
      </c>
      <c r="D2" t="n">
        <v>1316625</v>
      </c>
      <c r="E2" t="n">
        <v>20100</v>
      </c>
      <c r="F2" t="n">
        <v>135.59</v>
      </c>
      <c r="G2" t="n">
        <v>0.2741</v>
      </c>
      <c r="H2" t="n">
        <v>0</v>
      </c>
      <c r="I2" t="n">
        <v>0.15</v>
      </c>
      <c r="J2" t="n">
        <v>69000</v>
      </c>
      <c r="K2" t="n">
        <v>78</v>
      </c>
      <c r="L2" t="n">
        <v>61583</v>
      </c>
      <c r="M2" t="n">
        <v>98</v>
      </c>
      <c r="N2" t="n">
        <v>18.2</v>
      </c>
    </row>
    <row r="3">
      <c r="A3" t="inlineStr">
        <is>
          <t>Дема</t>
        </is>
      </c>
      <c r="B3" t="inlineStr">
        <is>
          <t>2026-04</t>
        </is>
      </c>
      <c r="C3" t="n">
        <v>89680</v>
      </c>
      <c r="D3" t="n">
        <v>325650</v>
      </c>
      <c r="E3" t="n">
        <v>4500</v>
      </c>
      <c r="F3" t="n">
        <v>135.59</v>
      </c>
      <c r="G3" t="n">
        <v>0.06174</v>
      </c>
      <c r="H3" t="n">
        <v>0</v>
      </c>
      <c r="I3" t="n">
        <v>0.01</v>
      </c>
      <c r="J3" t="n">
        <v>69000</v>
      </c>
      <c r="K3" t="n">
        <v>79</v>
      </c>
      <c r="L3" t="n">
        <v>66766</v>
      </c>
      <c r="M3" t="n">
        <v>98.59999999999999</v>
      </c>
      <c r="N3" t="n">
        <v>27.68</v>
      </c>
    </row>
    <row r="4">
      <c r="A4" t="inlineStr">
        <is>
          <t>Бирск</t>
        </is>
      </c>
      <c r="B4" t="inlineStr">
        <is>
          <t>2026-05</t>
        </is>
      </c>
      <c r="C4" t="n">
        <v>270000</v>
      </c>
      <c r="D4" t="n">
        <v>1351800</v>
      </c>
      <c r="E4" t="n">
        <v>19000</v>
      </c>
      <c r="F4" t="n">
        <v>136.61</v>
      </c>
      <c r="G4" t="n">
        <v>0.2777</v>
      </c>
      <c r="H4" t="n">
        <v>0</v>
      </c>
      <c r="I4" t="n">
        <v>0.2</v>
      </c>
      <c r="J4" t="n">
        <v>75000</v>
      </c>
      <c r="K4" t="n">
        <v>75</v>
      </c>
      <c r="L4" t="n">
        <v>64905</v>
      </c>
      <c r="M4" t="n">
        <v>102.5</v>
      </c>
      <c r="N4" t="n">
        <v>19.1</v>
      </c>
    </row>
    <row r="5">
      <c r="A5" t="inlineStr">
        <is>
          <t>Дема</t>
        </is>
      </c>
      <c r="B5" t="inlineStr">
        <is>
          <t>2026-05</t>
        </is>
      </c>
      <c r="C5" t="n">
        <v>64500</v>
      </c>
      <c r="D5" t="n">
        <v>310650</v>
      </c>
      <c r="E5" t="n">
        <v>4500</v>
      </c>
      <c r="F5" t="n">
        <v>136.61</v>
      </c>
      <c r="G5" t="n">
        <v>0.059716</v>
      </c>
      <c r="H5" t="n">
        <v>0</v>
      </c>
      <c r="I5" t="n">
        <v>0.01</v>
      </c>
      <c r="J5" t="n">
        <v>72000</v>
      </c>
      <c r="K5" t="n">
        <v>76</v>
      </c>
      <c r="L5" t="n">
        <v>68449</v>
      </c>
      <c r="M5" t="n">
        <v>93</v>
      </c>
      <c r="N5" t="n">
        <v>19.27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2026-06-15T11:00:01Z</dcterms:created>
  <dcterms:modified xsi:type="dcterms:W3CDTF">2026-06-15T11:00:01Z</dcterms:modified>
</cp:coreProperties>
</file>